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cuments\Code\Thesis\"/>
    </mc:Choice>
  </mc:AlternateContent>
  <xr:revisionPtr revIDLastSave="0" documentId="13_ncr:1_{D7D278B0-0A74-43B4-8B0D-7527676B48C6}" xr6:coauthVersionLast="47" xr6:coauthVersionMax="47" xr10:uidLastSave="{00000000-0000-0000-0000-000000000000}"/>
  <bookViews>
    <workbookView xWindow="-108" yWindow="-108" windowWidth="23256" windowHeight="13896" activeTab="1" xr2:uid="{2B43A399-7D97-4721-AB8A-76B953383C72}"/>
  </bookViews>
  <sheets>
    <sheet name="rail_routes" sheetId="1" r:id="rId1"/>
    <sheet name="required_seg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C16" i="1"/>
  <c r="G16" i="1"/>
  <c r="AM3" i="1"/>
  <c r="AQ3" i="1" s="1"/>
  <c r="AU3" i="1" s="1"/>
  <c r="AY3" i="1" s="1"/>
  <c r="BC3" i="1" s="1"/>
  <c r="AM4" i="1"/>
  <c r="AQ4" i="1" s="1"/>
  <c r="AU4" i="1" s="1"/>
  <c r="AY4" i="1" s="1"/>
  <c r="BC4" i="1" s="1"/>
  <c r="AM5" i="1"/>
  <c r="AQ5" i="1" s="1"/>
  <c r="AU5" i="1" s="1"/>
  <c r="AY5" i="1" s="1"/>
  <c r="BC5" i="1" s="1"/>
  <c r="AM2" i="1"/>
  <c r="AQ2" i="1" s="1"/>
  <c r="AU2" i="1" s="1"/>
  <c r="AY2" i="1" s="1"/>
  <c r="BC2" i="1" s="1"/>
  <c r="O3" i="1"/>
  <c r="S3" i="1" s="1"/>
  <c r="W3" i="1" s="1"/>
  <c r="AA3" i="1" s="1"/>
  <c r="AE3" i="1" s="1"/>
  <c r="O4" i="1"/>
  <c r="S4" i="1" s="1"/>
  <c r="W4" i="1" s="1"/>
  <c r="AA4" i="1" s="1"/>
  <c r="AE4" i="1" s="1"/>
  <c r="O5" i="1"/>
  <c r="S5" i="1" s="1"/>
  <c r="W5" i="1" s="1"/>
  <c r="AA5" i="1" s="1"/>
  <c r="AE5" i="1" s="1"/>
  <c r="O2" i="1"/>
  <c r="S2" i="1" s="1"/>
  <c r="W2" i="1" s="1"/>
  <c r="AA2" i="1" s="1"/>
  <c r="AE2" i="1" s="1"/>
  <c r="G3" i="1"/>
  <c r="G5" i="1"/>
  <c r="G7" i="1"/>
  <c r="G9" i="1"/>
  <c r="G11" i="1"/>
  <c r="G13" i="1"/>
  <c r="G15" i="1"/>
  <c r="G2" i="1"/>
  <c r="C14" i="1"/>
  <c r="G14" i="1" s="1"/>
  <c r="C12" i="1"/>
  <c r="G12" i="1" s="1"/>
  <c r="C4" i="1"/>
  <c r="G4" i="1" s="1"/>
  <c r="C6" i="1"/>
  <c r="G6" i="1" s="1"/>
  <c r="C8" i="1"/>
  <c r="G8" i="1" s="1"/>
  <c r="C10" i="1"/>
  <c r="G10" i="1" s="1"/>
</calcChain>
</file>

<file path=xl/sharedStrings.xml><?xml version="1.0" encoding="utf-8"?>
<sst xmlns="http://schemas.openxmlformats.org/spreadsheetml/2006/main" count="177" uniqueCount="18">
  <si>
    <t>Time</t>
  </si>
  <si>
    <t>Depart</t>
  </si>
  <si>
    <t>Amsterdam Centraal</t>
  </si>
  <si>
    <t>Arrive</t>
  </si>
  <si>
    <t>Amsterdam Muiderpoort</t>
  </si>
  <si>
    <t>Amsterdam Amstel</t>
  </si>
  <si>
    <t>Amsterdam Bijlmer Arena</t>
  </si>
  <si>
    <t>Duivendrecht</t>
  </si>
  <si>
    <t>Amsterdam Holendrecht</t>
  </si>
  <si>
    <t>Abcoude</t>
  </si>
  <si>
    <t>Breukelen</t>
  </si>
  <si>
    <t>Utrecht Centraal</t>
  </si>
  <si>
    <t>Amsterdam Zuid</t>
  </si>
  <si>
    <t>Amsterdam Bijlmer ArenA</t>
  </si>
  <si>
    <t>1, 2</t>
  </si>
  <si>
    <t>3, 4, 5, 6, 7, 8</t>
  </si>
  <si>
    <t>9, 10, 11, 12, 13, 14</t>
  </si>
  <si>
    <t>Woerden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</si>
</sst>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EC42-BABF-46CC-A02D-F9F148C1960E}">
  <dimension ref="A1:BC17"/>
  <sheetViews>
    <sheetView workbookViewId="0">
      <selection activeCell="H23" sqref="H23"/>
    </sheetView>
  </sheetViews>
  <sheetFormatPr defaultRowHeight="14.4" x14ac:dyDescent="0.3"/>
  <cols>
    <col min="2" max="2" width="21.77734375" bestFit="1" customWidth="1"/>
    <col min="6" max="6" width="21.77734375" bestFit="1" customWidth="1"/>
    <col min="10" max="10" width="17.77734375" bestFit="1" customWidth="1"/>
    <col min="34" max="34" width="21.88671875" bestFit="1" customWidth="1"/>
  </cols>
  <sheetData>
    <row r="1" spans="1:55" x14ac:dyDescent="0.3">
      <c r="B1">
        <v>1</v>
      </c>
      <c r="C1" t="s">
        <v>0</v>
      </c>
      <c r="F1">
        <v>2</v>
      </c>
      <c r="G1" t="s">
        <v>0</v>
      </c>
      <c r="J1">
        <v>3</v>
      </c>
      <c r="K1" t="s">
        <v>0</v>
      </c>
      <c r="N1">
        <v>4</v>
      </c>
      <c r="O1" t="s">
        <v>0</v>
      </c>
      <c r="R1">
        <v>5</v>
      </c>
      <c r="S1" t="s">
        <v>0</v>
      </c>
      <c r="V1">
        <v>6</v>
      </c>
      <c r="W1" t="s">
        <v>0</v>
      </c>
      <c r="Z1">
        <v>7</v>
      </c>
      <c r="AA1" t="s">
        <v>0</v>
      </c>
      <c r="AD1">
        <v>8</v>
      </c>
      <c r="AE1" t="s">
        <v>0</v>
      </c>
      <c r="AH1">
        <v>9</v>
      </c>
      <c r="AI1" t="s">
        <v>0</v>
      </c>
      <c r="AL1">
        <v>10</v>
      </c>
      <c r="AM1" t="s">
        <v>0</v>
      </c>
      <c r="AP1">
        <v>11</v>
      </c>
      <c r="AQ1" t="s">
        <v>0</v>
      </c>
      <c r="AT1">
        <v>12</v>
      </c>
      <c r="AU1" t="s">
        <v>0</v>
      </c>
      <c r="AX1">
        <v>13</v>
      </c>
      <c r="AY1" t="s">
        <v>0</v>
      </c>
      <c r="BB1">
        <v>14</v>
      </c>
      <c r="BC1" t="s">
        <v>0</v>
      </c>
    </row>
    <row r="2" spans="1:55" x14ac:dyDescent="0.3">
      <c r="A2" t="s">
        <v>1</v>
      </c>
      <c r="B2" t="s">
        <v>2</v>
      </c>
      <c r="C2" s="3">
        <v>0.34652777777777777</v>
      </c>
      <c r="D2" s="2"/>
      <c r="E2" t="s">
        <v>1</v>
      </c>
      <c r="F2" t="s">
        <v>2</v>
      </c>
      <c r="G2" s="2">
        <f>C2+30*60/86400</f>
        <v>0.36736111111111108</v>
      </c>
      <c r="I2" t="s">
        <v>1</v>
      </c>
      <c r="J2" t="s">
        <v>2</v>
      </c>
      <c r="K2" s="3">
        <v>0.33611111111111114</v>
      </c>
      <c r="M2" t="s">
        <v>1</v>
      </c>
      <c r="N2" t="s">
        <v>2</v>
      </c>
      <c r="O2" s="3">
        <f>K2+10*60/86400</f>
        <v>0.34305555555555556</v>
      </c>
      <c r="Q2" t="s">
        <v>1</v>
      </c>
      <c r="R2" t="s">
        <v>2</v>
      </c>
      <c r="S2" s="3">
        <f>O2+10*60/86400</f>
        <v>0.35</v>
      </c>
      <c r="U2" t="s">
        <v>1</v>
      </c>
      <c r="V2" t="s">
        <v>2</v>
      </c>
      <c r="W2" s="3">
        <f>S2+10*60/86400</f>
        <v>0.3569444444444444</v>
      </c>
      <c r="Y2" t="s">
        <v>1</v>
      </c>
      <c r="Z2" t="s">
        <v>2</v>
      </c>
      <c r="AA2" s="3">
        <f>W2+10*60/86400</f>
        <v>0.36388888888888882</v>
      </c>
      <c r="AC2" t="s">
        <v>1</v>
      </c>
      <c r="AD2" t="s">
        <v>2</v>
      </c>
      <c r="AE2" s="3">
        <f>AA2+10*60/86400</f>
        <v>0.37083333333333324</v>
      </c>
      <c r="AG2" t="s">
        <v>1</v>
      </c>
      <c r="AH2" t="s">
        <v>12</v>
      </c>
      <c r="AI2" s="3">
        <v>0.33750000000000002</v>
      </c>
      <c r="AK2" t="s">
        <v>1</v>
      </c>
      <c r="AL2" t="s">
        <v>12</v>
      </c>
      <c r="AM2" s="3">
        <f>AI2+10*60/86400</f>
        <v>0.34444444444444444</v>
      </c>
      <c r="AO2" t="s">
        <v>1</v>
      </c>
      <c r="AP2" t="s">
        <v>12</v>
      </c>
      <c r="AQ2" s="3">
        <f>AM2+10*60/86400</f>
        <v>0.35138888888888886</v>
      </c>
      <c r="AS2" t="s">
        <v>1</v>
      </c>
      <c r="AT2" t="s">
        <v>12</v>
      </c>
      <c r="AU2" s="3">
        <f>AQ2+10*60/86400</f>
        <v>0.35833333333333328</v>
      </c>
      <c r="AW2" t="s">
        <v>1</v>
      </c>
      <c r="AX2" t="s">
        <v>12</v>
      </c>
      <c r="AY2" s="3">
        <f>AU2+10*60/86400</f>
        <v>0.3652777777777777</v>
      </c>
      <c r="BA2" t="s">
        <v>1</v>
      </c>
      <c r="BB2" t="s">
        <v>12</v>
      </c>
      <c r="BC2" s="3">
        <f>AY2+10*60/86400</f>
        <v>0.37222222222222212</v>
      </c>
    </row>
    <row r="3" spans="1:55" x14ac:dyDescent="0.3">
      <c r="A3" t="s">
        <v>3</v>
      </c>
      <c r="B3" t="s">
        <v>4</v>
      </c>
      <c r="C3" s="3">
        <v>0.35</v>
      </c>
      <c r="D3" s="2"/>
      <c r="E3" t="s">
        <v>3</v>
      </c>
      <c r="F3" t="s">
        <v>4</v>
      </c>
      <c r="G3" s="2">
        <f t="shared" ref="G3:G15" si="0">C3+30*60/86400</f>
        <v>0.37083333333333329</v>
      </c>
      <c r="I3" t="s">
        <v>3</v>
      </c>
      <c r="J3" t="s">
        <v>5</v>
      </c>
      <c r="K3" s="3">
        <v>0.34166666666666667</v>
      </c>
      <c r="M3" t="s">
        <v>3</v>
      </c>
      <c r="N3" t="s">
        <v>5</v>
      </c>
      <c r="O3" s="3">
        <f t="shared" ref="O3:O5" si="1">K3+10*60/86400</f>
        <v>0.34861111111111109</v>
      </c>
      <c r="Q3" t="s">
        <v>3</v>
      </c>
      <c r="R3" t="s">
        <v>5</v>
      </c>
      <c r="S3" s="3">
        <f t="shared" ref="S3:S5" si="2">O3+10*60/86400</f>
        <v>0.35555555555555551</v>
      </c>
      <c r="U3" t="s">
        <v>3</v>
      </c>
      <c r="V3" t="s">
        <v>5</v>
      </c>
      <c r="W3" s="3">
        <f t="shared" ref="W3:W5" si="3">S3+10*60/86400</f>
        <v>0.36249999999999993</v>
      </c>
      <c r="Y3" t="s">
        <v>3</v>
      </c>
      <c r="Z3" t="s">
        <v>5</v>
      </c>
      <c r="AA3" s="3">
        <f t="shared" ref="AA3:AA5" si="4">W3+10*60/86400</f>
        <v>0.36944444444444435</v>
      </c>
      <c r="AC3" t="s">
        <v>3</v>
      </c>
      <c r="AD3" t="s">
        <v>5</v>
      </c>
      <c r="AE3" s="3">
        <f t="shared" ref="AE3:AE5" si="5">AA3+10*60/86400</f>
        <v>0.37638888888888877</v>
      </c>
      <c r="AG3" t="s">
        <v>3</v>
      </c>
      <c r="AH3" t="s">
        <v>13</v>
      </c>
      <c r="AI3" s="3">
        <v>0.34097222222222223</v>
      </c>
      <c r="AK3" t="s">
        <v>3</v>
      </c>
      <c r="AL3" t="s">
        <v>13</v>
      </c>
      <c r="AM3" s="3">
        <f t="shared" ref="AM3:AM5" si="6">AI3+10*60/86400</f>
        <v>0.34791666666666665</v>
      </c>
      <c r="AO3" t="s">
        <v>3</v>
      </c>
      <c r="AP3" t="s">
        <v>13</v>
      </c>
      <c r="AQ3" s="3">
        <f t="shared" ref="AQ3:AQ5" si="7">AM3+10*60/86400</f>
        <v>0.35486111111111107</v>
      </c>
      <c r="AS3" t="s">
        <v>3</v>
      </c>
      <c r="AT3" t="s">
        <v>13</v>
      </c>
      <c r="AU3" s="3">
        <f t="shared" ref="AU3:AU5" si="8">AQ3+10*60/86400</f>
        <v>0.36180555555555549</v>
      </c>
      <c r="AW3" t="s">
        <v>3</v>
      </c>
      <c r="AX3" t="s">
        <v>13</v>
      </c>
      <c r="AY3" s="3">
        <f t="shared" ref="AY3:AY5" si="9">AU3+10*60/86400</f>
        <v>0.36874999999999991</v>
      </c>
      <c r="BA3" t="s">
        <v>3</v>
      </c>
      <c r="BB3" t="s">
        <v>13</v>
      </c>
      <c r="BC3" s="3">
        <f t="shared" ref="BC3:BC5" si="10">AY3+10*60/86400</f>
        <v>0.37569444444444433</v>
      </c>
    </row>
    <row r="4" spans="1:55" x14ac:dyDescent="0.3">
      <c r="A4" t="s">
        <v>1</v>
      </c>
      <c r="B4" t="s">
        <v>4</v>
      </c>
      <c r="C4" s="3">
        <f>C3+20/86400</f>
        <v>0.35023148148148148</v>
      </c>
      <c r="D4" s="2"/>
      <c r="E4" t="s">
        <v>1</v>
      </c>
      <c r="F4" t="s">
        <v>4</v>
      </c>
      <c r="G4" s="2">
        <f t="shared" si="0"/>
        <v>0.37106481481481479</v>
      </c>
      <c r="I4" t="s">
        <v>1</v>
      </c>
      <c r="J4" t="s">
        <v>5</v>
      </c>
      <c r="K4" s="3">
        <v>0.34236111111111112</v>
      </c>
      <c r="M4" t="s">
        <v>1</v>
      </c>
      <c r="N4" t="s">
        <v>5</v>
      </c>
      <c r="O4" s="3">
        <f t="shared" si="1"/>
        <v>0.34930555555555554</v>
      </c>
      <c r="Q4" t="s">
        <v>1</v>
      </c>
      <c r="R4" t="s">
        <v>5</v>
      </c>
      <c r="S4" s="3">
        <f t="shared" si="2"/>
        <v>0.35624999999999996</v>
      </c>
      <c r="U4" t="s">
        <v>1</v>
      </c>
      <c r="V4" t="s">
        <v>5</v>
      </c>
      <c r="W4" s="3">
        <f t="shared" si="3"/>
        <v>0.36319444444444438</v>
      </c>
      <c r="Y4" t="s">
        <v>1</v>
      </c>
      <c r="Z4" t="s">
        <v>5</v>
      </c>
      <c r="AA4" s="3">
        <f t="shared" si="4"/>
        <v>0.3701388888888888</v>
      </c>
      <c r="AC4" t="s">
        <v>1</v>
      </c>
      <c r="AD4" t="s">
        <v>5</v>
      </c>
      <c r="AE4" s="3">
        <f t="shared" si="5"/>
        <v>0.37708333333333321</v>
      </c>
      <c r="AG4" t="s">
        <v>1</v>
      </c>
      <c r="AH4" t="s">
        <v>13</v>
      </c>
      <c r="AI4" s="3">
        <v>0.34166666666666667</v>
      </c>
      <c r="AK4" t="s">
        <v>1</v>
      </c>
      <c r="AL4" t="s">
        <v>13</v>
      </c>
      <c r="AM4" s="3">
        <f t="shared" si="6"/>
        <v>0.34861111111111109</v>
      </c>
      <c r="AO4" t="s">
        <v>1</v>
      </c>
      <c r="AP4" t="s">
        <v>13</v>
      </c>
      <c r="AQ4" s="3">
        <f t="shared" si="7"/>
        <v>0.35555555555555551</v>
      </c>
      <c r="AS4" t="s">
        <v>1</v>
      </c>
      <c r="AT4" t="s">
        <v>13</v>
      </c>
      <c r="AU4" s="3">
        <f t="shared" si="8"/>
        <v>0.36249999999999993</v>
      </c>
      <c r="AW4" t="s">
        <v>1</v>
      </c>
      <c r="AX4" t="s">
        <v>13</v>
      </c>
      <c r="AY4" s="3">
        <f t="shared" si="9"/>
        <v>0.36944444444444435</v>
      </c>
      <c r="BA4" t="s">
        <v>1</v>
      </c>
      <c r="BB4" t="s">
        <v>13</v>
      </c>
      <c r="BC4" s="3">
        <f t="shared" si="10"/>
        <v>0.37638888888888877</v>
      </c>
    </row>
    <row r="5" spans="1:55" x14ac:dyDescent="0.3">
      <c r="A5" t="s">
        <v>3</v>
      </c>
      <c r="B5" t="s">
        <v>5</v>
      </c>
      <c r="C5" s="3">
        <v>0.35208333333333336</v>
      </c>
      <c r="D5" s="2"/>
      <c r="E5" t="s">
        <v>3</v>
      </c>
      <c r="F5" t="s">
        <v>5</v>
      </c>
      <c r="G5" s="2">
        <f t="shared" si="0"/>
        <v>0.37291666666666667</v>
      </c>
      <c r="I5" t="s">
        <v>3</v>
      </c>
      <c r="J5" t="s">
        <v>11</v>
      </c>
      <c r="K5" s="3">
        <v>0.35486111111111113</v>
      </c>
      <c r="M5" t="s">
        <v>3</v>
      </c>
      <c r="N5" t="s">
        <v>11</v>
      </c>
      <c r="O5" s="3">
        <f t="shared" si="1"/>
        <v>0.36180555555555555</v>
      </c>
      <c r="Q5" t="s">
        <v>3</v>
      </c>
      <c r="R5" t="s">
        <v>11</v>
      </c>
      <c r="S5" s="3">
        <f t="shared" si="2"/>
        <v>0.36874999999999997</v>
      </c>
      <c r="U5" t="s">
        <v>3</v>
      </c>
      <c r="V5" t="s">
        <v>11</v>
      </c>
      <c r="W5" s="3">
        <f t="shared" si="3"/>
        <v>0.37569444444444439</v>
      </c>
      <c r="Y5" t="s">
        <v>3</v>
      </c>
      <c r="Z5" t="s">
        <v>11</v>
      </c>
      <c r="AA5" s="3">
        <f t="shared" si="4"/>
        <v>0.38263888888888881</v>
      </c>
      <c r="AC5" t="s">
        <v>3</v>
      </c>
      <c r="AD5" t="s">
        <v>11</v>
      </c>
      <c r="AE5" s="3">
        <f t="shared" si="5"/>
        <v>0.38958333333333323</v>
      </c>
      <c r="AG5" t="s">
        <v>3</v>
      </c>
      <c r="AH5" t="s">
        <v>11</v>
      </c>
      <c r="AI5" s="3">
        <v>0.3527777777777778</v>
      </c>
      <c r="AK5" t="s">
        <v>3</v>
      </c>
      <c r="AL5" t="s">
        <v>11</v>
      </c>
      <c r="AM5" s="3">
        <f t="shared" si="6"/>
        <v>0.35972222222222222</v>
      </c>
      <c r="AO5" t="s">
        <v>3</v>
      </c>
      <c r="AP5" t="s">
        <v>11</v>
      </c>
      <c r="AQ5" s="3">
        <f t="shared" si="7"/>
        <v>0.36666666666666664</v>
      </c>
      <c r="AS5" t="s">
        <v>3</v>
      </c>
      <c r="AT5" t="s">
        <v>11</v>
      </c>
      <c r="AU5" s="3">
        <f t="shared" si="8"/>
        <v>0.37361111111111106</v>
      </c>
      <c r="AW5" t="s">
        <v>3</v>
      </c>
      <c r="AX5" t="s">
        <v>11</v>
      </c>
      <c r="AY5" s="3">
        <f t="shared" si="9"/>
        <v>0.38055555555555548</v>
      </c>
      <c r="BA5" t="s">
        <v>3</v>
      </c>
      <c r="BB5" t="s">
        <v>11</v>
      </c>
      <c r="BC5" s="3">
        <f t="shared" si="10"/>
        <v>0.3874999999999999</v>
      </c>
    </row>
    <row r="6" spans="1:55" x14ac:dyDescent="0.3">
      <c r="A6" t="s">
        <v>1</v>
      </c>
      <c r="B6" t="s">
        <v>5</v>
      </c>
      <c r="C6" s="3">
        <f>C5+20/86400</f>
        <v>0.35231481481481486</v>
      </c>
      <c r="D6" s="2"/>
      <c r="E6" t="s">
        <v>1</v>
      </c>
      <c r="F6" t="s">
        <v>5</v>
      </c>
      <c r="G6" s="2">
        <f t="shared" si="0"/>
        <v>0.37314814814814817</v>
      </c>
      <c r="K6" s="3"/>
    </row>
    <row r="7" spans="1:55" x14ac:dyDescent="0.3">
      <c r="A7" t="s">
        <v>3</v>
      </c>
      <c r="B7" t="s">
        <v>7</v>
      </c>
      <c r="C7" s="3">
        <v>0.35486111111111113</v>
      </c>
      <c r="D7" s="2"/>
      <c r="E7" t="s">
        <v>3</v>
      </c>
      <c r="F7" t="s">
        <v>7</v>
      </c>
      <c r="G7" s="2">
        <f t="shared" si="0"/>
        <v>0.37569444444444444</v>
      </c>
      <c r="K7" s="3"/>
    </row>
    <row r="8" spans="1:55" x14ac:dyDescent="0.3">
      <c r="A8" t="s">
        <v>1</v>
      </c>
      <c r="B8" t="s">
        <v>7</v>
      </c>
      <c r="C8" s="3">
        <f>C7+20/86400</f>
        <v>0.35509259259259263</v>
      </c>
      <c r="D8" s="2"/>
      <c r="E8" t="s">
        <v>1</v>
      </c>
      <c r="F8" t="s">
        <v>7</v>
      </c>
      <c r="G8" s="2">
        <f t="shared" si="0"/>
        <v>0.37592592592592594</v>
      </c>
      <c r="K8" s="3"/>
    </row>
    <row r="9" spans="1:55" x14ac:dyDescent="0.3">
      <c r="A9" t="s">
        <v>3</v>
      </c>
      <c r="B9" t="s">
        <v>6</v>
      </c>
      <c r="C9" s="3">
        <v>0.35625000000000001</v>
      </c>
      <c r="D9" s="2"/>
      <c r="E9" t="s">
        <v>3</v>
      </c>
      <c r="F9" t="s">
        <v>6</v>
      </c>
      <c r="G9" s="2">
        <f t="shared" si="0"/>
        <v>0.37708333333333333</v>
      </c>
    </row>
    <row r="10" spans="1:55" x14ac:dyDescent="0.3">
      <c r="A10" t="s">
        <v>1</v>
      </c>
      <c r="B10" t="s">
        <v>6</v>
      </c>
      <c r="C10" s="3">
        <f>C9+20/86400</f>
        <v>0.35648148148148151</v>
      </c>
      <c r="D10" s="2"/>
      <c r="E10" t="s">
        <v>1</v>
      </c>
      <c r="F10" t="s">
        <v>6</v>
      </c>
      <c r="G10" s="2">
        <f t="shared" si="0"/>
        <v>0.37731481481481483</v>
      </c>
    </row>
    <row r="11" spans="1:55" x14ac:dyDescent="0.3">
      <c r="A11" t="s">
        <v>3</v>
      </c>
      <c r="B11" t="s">
        <v>8</v>
      </c>
      <c r="C11" s="3">
        <v>0.35833333333333334</v>
      </c>
      <c r="D11" s="2"/>
      <c r="E11" t="s">
        <v>3</v>
      </c>
      <c r="F11" t="s">
        <v>8</v>
      </c>
      <c r="G11" s="2">
        <f t="shared" si="0"/>
        <v>0.37916666666666665</v>
      </c>
    </row>
    <row r="12" spans="1:55" x14ac:dyDescent="0.3">
      <c r="A12" t="s">
        <v>1</v>
      </c>
      <c r="B12" t="s">
        <v>8</v>
      </c>
      <c r="C12" s="3">
        <f>C11+20/86400</f>
        <v>0.35856481481481484</v>
      </c>
      <c r="D12" s="2"/>
      <c r="E12" t="s">
        <v>1</v>
      </c>
      <c r="F12" t="s">
        <v>8</v>
      </c>
      <c r="G12" s="2">
        <f t="shared" si="0"/>
        <v>0.37939814814814815</v>
      </c>
    </row>
    <row r="13" spans="1:55" x14ac:dyDescent="0.3">
      <c r="A13" t="s">
        <v>3</v>
      </c>
      <c r="B13" t="s">
        <v>9</v>
      </c>
      <c r="C13" s="3">
        <v>0.36041666666666666</v>
      </c>
      <c r="D13" s="1"/>
      <c r="E13" t="s">
        <v>3</v>
      </c>
      <c r="F13" t="s">
        <v>9</v>
      </c>
      <c r="G13" s="2">
        <f t="shared" si="0"/>
        <v>0.38124999999999998</v>
      </c>
    </row>
    <row r="14" spans="1:55" x14ac:dyDescent="0.3">
      <c r="A14" t="s">
        <v>1</v>
      </c>
      <c r="B14" t="s">
        <v>9</v>
      </c>
      <c r="C14" s="3">
        <f>C13+20/86400</f>
        <v>0.36064814814814816</v>
      </c>
      <c r="D14" s="1"/>
      <c r="E14" t="s">
        <v>1</v>
      </c>
      <c r="F14" t="s">
        <v>9</v>
      </c>
      <c r="G14" s="2">
        <f t="shared" si="0"/>
        <v>0.38148148148148148</v>
      </c>
    </row>
    <row r="15" spans="1:55" x14ac:dyDescent="0.3">
      <c r="A15" t="s">
        <v>3</v>
      </c>
      <c r="B15" t="s">
        <v>10</v>
      </c>
      <c r="C15" s="3">
        <v>0.3659722222222222</v>
      </c>
      <c r="D15" s="1"/>
      <c r="E15" t="s">
        <v>3</v>
      </c>
      <c r="F15" t="s">
        <v>10</v>
      </c>
      <c r="G15" s="2">
        <f t="shared" si="0"/>
        <v>0.38680555555555551</v>
      </c>
    </row>
    <row r="16" spans="1:55" x14ac:dyDescent="0.3">
      <c r="A16" t="s">
        <v>1</v>
      </c>
      <c r="B16" t="s">
        <v>10</v>
      </c>
      <c r="C16" s="3">
        <f>C15+20*86400</f>
        <v>1728000.3659722223</v>
      </c>
      <c r="E16" t="s">
        <v>1</v>
      </c>
      <c r="F16" t="s">
        <v>10</v>
      </c>
      <c r="G16" s="3">
        <f>C16+30*60/86400</f>
        <v>1728000.3868055556</v>
      </c>
    </row>
    <row r="17" spans="1:7" x14ac:dyDescent="0.3">
      <c r="A17" t="s">
        <v>3</v>
      </c>
      <c r="B17" t="s">
        <v>17</v>
      </c>
      <c r="C17" s="1">
        <v>0.37222222222222223</v>
      </c>
      <c r="E17" t="s">
        <v>3</v>
      </c>
      <c r="F17" t="s">
        <v>17</v>
      </c>
      <c r="G17" s="1">
        <f>C17+30*60/86400</f>
        <v>0.39305555555555555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4948-8FFD-4AAE-B6A6-B33FCBCEC15E}">
  <dimension ref="A1:C11"/>
  <sheetViews>
    <sheetView tabSelected="1" workbookViewId="0">
      <selection activeCell="I15" sqref="I15"/>
    </sheetView>
  </sheetViews>
  <sheetFormatPr defaultRowHeight="14.4" x14ac:dyDescent="0.3"/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>
        <v>415</v>
      </c>
      <c r="B2">
        <v>341</v>
      </c>
      <c r="C2">
        <v>12</v>
      </c>
    </row>
    <row r="3" spans="1:3" x14ac:dyDescent="0.3">
      <c r="A3">
        <v>407</v>
      </c>
      <c r="B3">
        <v>349</v>
      </c>
      <c r="C3">
        <v>18</v>
      </c>
    </row>
    <row r="4" spans="1:3" x14ac:dyDescent="0.3">
      <c r="A4">
        <v>400</v>
      </c>
      <c r="B4">
        <v>364</v>
      </c>
      <c r="C4">
        <v>132</v>
      </c>
    </row>
    <row r="5" spans="1:3" x14ac:dyDescent="0.3">
      <c r="A5">
        <v>368</v>
      </c>
      <c r="B5">
        <v>413</v>
      </c>
      <c r="C5">
        <v>324</v>
      </c>
    </row>
    <row r="6" spans="1:3" x14ac:dyDescent="0.3">
      <c r="A6">
        <v>331</v>
      </c>
      <c r="B6">
        <v>448</v>
      </c>
      <c r="C6">
        <v>349</v>
      </c>
    </row>
    <row r="7" spans="1:3" x14ac:dyDescent="0.3">
      <c r="A7">
        <v>288</v>
      </c>
      <c r="B7">
        <v>463</v>
      </c>
      <c r="C7">
        <v>364</v>
      </c>
    </row>
    <row r="8" spans="1:3" x14ac:dyDescent="0.3">
      <c r="B8">
        <v>527</v>
      </c>
      <c r="C8">
        <v>413</v>
      </c>
    </row>
    <row r="9" spans="1:3" x14ac:dyDescent="0.3">
      <c r="C9">
        <v>448</v>
      </c>
    </row>
    <row r="10" spans="1:3" x14ac:dyDescent="0.3">
      <c r="C10">
        <v>463</v>
      </c>
    </row>
    <row r="11" spans="1:3" x14ac:dyDescent="0.3">
      <c r="C11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rail_routes</vt:lpstr>
      <vt:lpstr>required_segments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Mennill</cp:lastModifiedBy>
  <dcterms:created xsi:type="dcterms:W3CDTF">2026-10-08T20:23:41Z</dcterms:created>
  <dcterms:modified xsi:type="dcterms:W3CDTF">2026-10-08T22:46:15Z</dcterms:modified>
</cp:coreProperties>
</file>